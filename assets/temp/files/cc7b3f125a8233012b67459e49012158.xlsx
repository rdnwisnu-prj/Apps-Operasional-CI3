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KU\SARMUT\"/>
    </mc:Choice>
  </mc:AlternateContent>
  <xr:revisionPtr revIDLastSave="0" documentId="8_{53DDE0AB-DA0E-42EE-AEAD-81A99CA6A44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5" i="1" l="1"/>
  <c r="H81" i="1"/>
  <c r="H78" i="1"/>
  <c r="H71" i="1"/>
  <c r="H70" i="1"/>
  <c r="H67" i="1"/>
  <c r="H69" i="1" s="1"/>
  <c r="H57" i="1"/>
  <c r="H56" i="1"/>
  <c r="H59" i="1" s="1"/>
  <c r="H61" i="1" s="1"/>
  <c r="H49" i="1"/>
  <c r="H48" i="1"/>
  <c r="H13" i="1"/>
  <c r="H11" i="1"/>
  <c r="H10" i="1"/>
  <c r="H9" i="1"/>
</calcChain>
</file>

<file path=xl/sharedStrings.xml><?xml version="1.0" encoding="utf-8"?>
<sst xmlns="http://schemas.openxmlformats.org/spreadsheetml/2006/main" count="411" uniqueCount="129">
  <si>
    <t>No</t>
  </si>
  <si>
    <t>NAMA PERUSAHAAN</t>
  </si>
  <si>
    <t>NAMA PIC</t>
  </si>
  <si>
    <t>NO. PIC</t>
  </si>
  <si>
    <t>EMAIL PIC</t>
  </si>
  <si>
    <t>ALAMAT PERUSAHAAN</t>
  </si>
  <si>
    <t>STATUS PROSPEK</t>
  </si>
  <si>
    <t>ESTIMASI SALES</t>
  </si>
  <si>
    <t>PRODUK/SERVICE</t>
  </si>
  <si>
    <t>KETERANGAN</t>
  </si>
  <si>
    <t>PERIODE 
(Tanggal Lengkap. Format : Tgl/Bln/Thn. Ex : 12/13/25)</t>
  </si>
  <si>
    <t>HSEO</t>
  </si>
  <si>
    <t xml:space="preserve">PT TEL </t>
  </si>
  <si>
    <t xml:space="preserve">PT. Besmindotama </t>
  </si>
  <si>
    <t xml:space="preserve">PT. Rekayasa Industri </t>
  </si>
  <si>
    <t xml:space="preserve">PT ITO </t>
  </si>
  <si>
    <t xml:space="preserve">Rayovac Batre Indonesia </t>
  </si>
  <si>
    <t xml:space="preserve">KAI DAOP Bandung </t>
  </si>
  <si>
    <t xml:space="preserve">Akademi Keperawatan Keris Husada </t>
  </si>
  <si>
    <t xml:space="preserve">Pa Hadi </t>
  </si>
  <si>
    <t xml:space="preserve">Stikes Medistra </t>
  </si>
  <si>
    <t xml:space="preserve">Bu Raulita </t>
  </si>
  <si>
    <t xml:space="preserve">Universtias Yarsi </t>
  </si>
  <si>
    <t>Humas</t>
  </si>
  <si>
    <t xml:space="preserve"> PT. Truelogs</t>
  </si>
  <si>
    <t xml:space="preserve">Mba niken </t>
  </si>
  <si>
    <t xml:space="preserve">PT. SGL </t>
  </si>
  <si>
    <t xml:space="preserve">Mas Yitno </t>
  </si>
  <si>
    <t xml:space="preserve">PT. Gunung Raja TBK </t>
  </si>
  <si>
    <t xml:space="preserve">Mas Nanda </t>
  </si>
  <si>
    <t xml:space="preserve">PT. Kenso </t>
  </si>
  <si>
    <t>Bu Elisabet</t>
  </si>
  <si>
    <t>LG HO</t>
  </si>
  <si>
    <t>CRM Tofan</t>
  </si>
  <si>
    <t xml:space="preserve">TPI Manufacturing </t>
  </si>
  <si>
    <t xml:space="preserve">PT Sulawesi Cahaya Mineral </t>
  </si>
  <si>
    <t>PT. Taci</t>
  </si>
  <si>
    <t>CRM Fajar</t>
  </si>
  <si>
    <t xml:space="preserve">PT. SRC </t>
  </si>
  <si>
    <t>Steel pipe industri</t>
  </si>
  <si>
    <t xml:space="preserve">CRM Tofan </t>
  </si>
  <si>
    <t xml:space="preserve">Simba </t>
  </si>
  <si>
    <t xml:space="preserve">Space Indonesia </t>
  </si>
  <si>
    <t xml:space="preserve">PATEC GROUP </t>
  </si>
  <si>
    <t>Bintang Toedjoe</t>
  </si>
  <si>
    <t>Cahaya Indotama</t>
  </si>
  <si>
    <t xml:space="preserve">PT. Akasha Wira Internasional </t>
  </si>
  <si>
    <t>Hitaci Astemo</t>
  </si>
  <si>
    <t>3M</t>
  </si>
  <si>
    <t xml:space="preserve">Mba Sindi </t>
  </si>
  <si>
    <t xml:space="preserve">PT. Enviromate Technologi </t>
  </si>
  <si>
    <t xml:space="preserve">CRM fajar </t>
  </si>
  <si>
    <t xml:space="preserve">PT. Pratama Mitra Sejati </t>
  </si>
  <si>
    <t xml:space="preserve">PT. GRP </t>
  </si>
  <si>
    <t xml:space="preserve">PT. SHIMIZU </t>
  </si>
  <si>
    <t>PT. Smart TBK</t>
  </si>
  <si>
    <t>CRM mba retno</t>
  </si>
  <si>
    <t xml:space="preserve">Ka nanda </t>
  </si>
  <si>
    <t xml:space="preserve">PT.Hokkan </t>
  </si>
  <si>
    <t xml:space="preserve">Ka Tofan </t>
  </si>
  <si>
    <t xml:space="preserve">PT. Nitto Indonesia </t>
  </si>
  <si>
    <t>PT. SBI</t>
  </si>
  <si>
    <t xml:space="preserve">Ka Nanda </t>
  </si>
  <si>
    <t>PT. Tjokro Asahi Cemerlang Indonesia</t>
  </si>
  <si>
    <t>Pratama Mitra Sejati</t>
  </si>
  <si>
    <t>Ka Niken</t>
  </si>
  <si>
    <t>Eka Nuri</t>
  </si>
  <si>
    <t xml:space="preserve">PT. Komatsu 3 Plant </t>
  </si>
  <si>
    <t xml:space="preserve">Ka Nisa </t>
  </si>
  <si>
    <t>PT. Epson</t>
  </si>
  <si>
    <t xml:space="preserve">Pt. Nitto Materials </t>
  </si>
  <si>
    <t xml:space="preserve">Ka Fajar </t>
  </si>
  <si>
    <t>PT. New Optics Indonesia</t>
  </si>
  <si>
    <t xml:space="preserve">PT. Pesat servis Indonesia </t>
  </si>
  <si>
    <t xml:space="preserve">HSEO </t>
  </si>
  <si>
    <t>Klinik Mata Bandung Eye Center</t>
  </si>
  <si>
    <t xml:space="preserve">Ka tofan </t>
  </si>
  <si>
    <t>PT. Terang Dunia Internusa Plant II</t>
  </si>
  <si>
    <t>CV. Ainun Mandiri Sejahtera</t>
  </si>
  <si>
    <t>Ka singgih</t>
  </si>
  <si>
    <t xml:space="preserve">PT. Supra Natami Utama </t>
  </si>
  <si>
    <t xml:space="preserve">PT. Astra </t>
  </si>
  <si>
    <t>PT. Cipta Harmoni Jaya</t>
  </si>
  <si>
    <t>Caca</t>
  </si>
  <si>
    <t>PT. Multi Saka Abadi</t>
  </si>
  <si>
    <t>Tofan</t>
  </si>
  <si>
    <t xml:space="preserve">PT. Yaeda </t>
  </si>
  <si>
    <t>Ka enggar</t>
  </si>
  <si>
    <t>PT. Nawakara HO</t>
  </si>
  <si>
    <t xml:space="preserve">Ka fajar </t>
  </si>
  <si>
    <t xml:space="preserve">PP HO </t>
  </si>
  <si>
    <t xml:space="preserve">PT. Narumi Indonesia </t>
  </si>
  <si>
    <t xml:space="preserve">Pa wawan </t>
  </si>
  <si>
    <t xml:space="preserve">PT. Sari Melati </t>
  </si>
  <si>
    <t>PT. Inchcape</t>
  </si>
  <si>
    <t xml:space="preserve">SDLG Indonesia </t>
  </si>
  <si>
    <t xml:space="preserve">Ka Difky </t>
  </si>
  <si>
    <t xml:space="preserve">G4S </t>
  </si>
  <si>
    <t>PT. Sentra Kuliner Sejahtera</t>
  </si>
  <si>
    <t>CNG</t>
  </si>
  <si>
    <t>Bu Tatyy</t>
  </si>
  <si>
    <t>PT Indonesia Thai Summit Plastech</t>
  </si>
  <si>
    <t xml:space="preserve">PT. Nindya Karya </t>
  </si>
  <si>
    <t xml:space="preserve">YOI </t>
  </si>
  <si>
    <t xml:space="preserve">Boga Mulya </t>
  </si>
  <si>
    <t>PT. Malindo Food Delight</t>
  </si>
  <si>
    <t xml:space="preserve">PT Idemitsu </t>
  </si>
  <si>
    <t xml:space="preserve">PT Dua Garsa Indonesia </t>
  </si>
  <si>
    <t xml:space="preserve">PT. Nayaka </t>
  </si>
  <si>
    <t xml:space="preserve">PT. Fukoku </t>
  </si>
  <si>
    <t xml:space="preserve">PT. Malindo Food </t>
  </si>
  <si>
    <t xml:space="preserve">Merdeka Gold </t>
  </si>
  <si>
    <t xml:space="preserve">PT Fajar Mas Murni </t>
  </si>
  <si>
    <t xml:space="preserve">PT. Idemitsu </t>
  </si>
  <si>
    <t xml:space="preserve">PT Adaro </t>
  </si>
  <si>
    <t>PT Bumi Daya Plaza</t>
  </si>
  <si>
    <t>Pertamina site lubuk lingau</t>
  </si>
  <si>
    <t xml:space="preserve">PT Eka Nuri </t>
  </si>
  <si>
    <t xml:space="preserve">PT Baruna Logistik </t>
  </si>
  <si>
    <t xml:space="preserve">PT. Pangan Lestari </t>
  </si>
  <si>
    <t xml:space="preserve">PT. Sekar Laut </t>
  </si>
  <si>
    <t xml:space="preserve">PT Cipta Wibisana Perkasa </t>
  </si>
  <si>
    <t xml:space="preserve">PT NHK Spring </t>
  </si>
  <si>
    <t>PT. Laris Manis Utama</t>
  </si>
  <si>
    <t xml:space="preserve">PT Petrolab Services </t>
  </si>
  <si>
    <t xml:space="preserve">PT. Intecs Teknikatama Industri </t>
  </si>
  <si>
    <t xml:space="preserve">PT. Sigma Rekayasa Prima </t>
  </si>
  <si>
    <t>Proses Prospek</t>
  </si>
  <si>
    <t xml:space="preserve">Kohler Jakarta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</si>
</sst>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/d/yyyy"/>
    <numFmt numFmtId="165" formatCode="mm/dd/yy"/>
    <numFmt numFmtId="166" formatCode="[$Rp-421]#,##0"/>
    <numFmt numFmtId="167" formatCode="&quot;Rp&quot;#,##0"/>
  </numFmts>
  <fonts count="8" x14ac:knownFonts="1"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Aptos Narrow"/>
      <family val="2"/>
      <charset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Border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7" fontId="5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7" fontId="5" fillId="0" borderId="1" xfId="2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</cellXfs>
  <cellStyles count="3">
    <cellStyle name="Comma" xfId="2" builtinId="3"/>
    <cellStyle name="Hipertaut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100" zoomScale="70" zoomScaleNormal="70" workbookViewId="0">
      <selection activeCell="I26" sqref="I26"/>
    </sheetView>
  </sheetViews>
  <sheetFormatPr defaultColWidth="8.5703125" defaultRowHeight="16.5" x14ac:dyDescent="0.25"/>
  <cols>
    <col min="1" max="1" width="5.5703125" style="5" bestFit="1" customWidth="1"/>
    <col min="2" max="2" width="43.7109375" style="5" customWidth="1"/>
    <col min="3" max="3" width="24.42578125" style="10" customWidth="1"/>
    <col min="4" max="4" width="18.85546875" style="5" customWidth="1"/>
    <col min="5" max="5" width="35.140625" style="5" customWidth="1"/>
    <col min="6" max="6" width="49.7109375" style="11" customWidth="1"/>
    <col min="7" max="7" width="29.42578125" style="12" customWidth="1"/>
    <col min="8" max="8" width="34.5703125" style="13" customWidth="1"/>
    <col min="9" max="9" width="23.140625" style="12" customWidth="1"/>
    <col min="10" max="10" width="35.85546875" style="5" customWidth="1"/>
    <col min="11" max="11" width="28.7109375" style="5" customWidth="1"/>
    <col min="12" max="12" width="9.140625" style="5" customWidth="1"/>
    <col min="13" max="16381" width="8.5703125" style="5"/>
    <col min="16382" max="16384" width="10.140625" style="5" customWidth="1"/>
  </cols>
  <sheetData>
    <row r="1" spans="1:11" ht="6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2" t="s">
        <v>10</v>
      </c>
    </row>
    <row r="2" spans="1:11" x14ac:dyDescent="0.3">
      <c r="A2" s="6">
        <v>1</v>
      </c>
      <c r="B2" s="14" t="s">
        <v>12</v>
      </c>
      <c r="C2" s="14" t="s">
        <v>11</v>
      </c>
      <c r="D2" s="7"/>
      <c r="E2" s="7"/>
      <c r="F2" s="7"/>
      <c r="G2" s="8" t="s">
        <v>127</v>
      </c>
      <c r="H2" s="15">
        <v>97000000</v>
      </c>
      <c r="I2" s="8" t="s">
        <v>11</v>
      </c>
      <c r="J2" s="14"/>
      <c r="K2" s="9"/>
    </row>
    <row r="3" spans="1:11" x14ac:dyDescent="0.25">
      <c r="A3" s="6">
        <v>2</v>
      </c>
      <c r="B3" s="14" t="s">
        <v>13</v>
      </c>
      <c r="C3" s="14" t="s">
        <v>11</v>
      </c>
      <c r="D3" s="6"/>
      <c r="E3" s="6"/>
      <c r="F3" s="6"/>
      <c r="G3" s="8" t="s">
        <v>127</v>
      </c>
      <c r="H3" s="15">
        <v>5000000</v>
      </c>
      <c r="I3" s="8" t="s">
        <v>11</v>
      </c>
      <c r="J3" s="6"/>
      <c r="K3" s="6"/>
    </row>
    <row r="4" spans="1:11" x14ac:dyDescent="0.25">
      <c r="A4" s="6">
        <v>3</v>
      </c>
      <c r="B4" s="14" t="s">
        <v>14</v>
      </c>
      <c r="C4" s="14" t="s">
        <v>11</v>
      </c>
      <c r="D4" s="6"/>
      <c r="E4" s="6"/>
      <c r="F4" s="19"/>
      <c r="G4" s="8" t="s">
        <v>127</v>
      </c>
      <c r="H4" s="15">
        <v>5000000</v>
      </c>
      <c r="I4" s="8" t="s">
        <v>11</v>
      </c>
      <c r="J4" s="6"/>
      <c r="K4" s="6"/>
    </row>
    <row r="5" spans="1:11" x14ac:dyDescent="0.25">
      <c r="A5" s="6">
        <v>4</v>
      </c>
      <c r="B5" s="14" t="s">
        <v>15</v>
      </c>
      <c r="C5" s="14" t="s">
        <v>11</v>
      </c>
      <c r="D5" s="6"/>
      <c r="E5" s="6"/>
      <c r="F5" s="19"/>
      <c r="G5" s="8" t="s">
        <v>127</v>
      </c>
      <c r="H5" s="15">
        <v>20000000</v>
      </c>
      <c r="I5" s="8" t="s">
        <v>11</v>
      </c>
      <c r="J5" s="6"/>
      <c r="K5" s="6"/>
    </row>
    <row r="6" spans="1:11" x14ac:dyDescent="0.25">
      <c r="A6" s="6">
        <v>5</v>
      </c>
      <c r="B6" s="14" t="s">
        <v>16</v>
      </c>
      <c r="C6" s="14" t="s">
        <v>11</v>
      </c>
      <c r="D6" s="6"/>
      <c r="E6" s="6"/>
      <c r="F6" s="19"/>
      <c r="G6" s="8" t="s">
        <v>127</v>
      </c>
      <c r="H6" s="15">
        <v>115000000</v>
      </c>
      <c r="I6" s="8" t="s">
        <v>11</v>
      </c>
      <c r="J6" s="6"/>
      <c r="K6" s="6"/>
    </row>
    <row r="7" spans="1:11" x14ac:dyDescent="0.25">
      <c r="A7" s="6">
        <v>6</v>
      </c>
      <c r="B7" s="14" t="s">
        <v>16</v>
      </c>
      <c r="C7" s="14" t="s">
        <v>11</v>
      </c>
      <c r="D7" s="6"/>
      <c r="E7" s="6"/>
      <c r="F7" s="19"/>
      <c r="G7" s="8" t="s">
        <v>127</v>
      </c>
      <c r="H7" s="15">
        <v>66000000</v>
      </c>
      <c r="I7" s="8" t="s">
        <v>11</v>
      </c>
      <c r="J7" s="6"/>
      <c r="K7" s="6"/>
    </row>
    <row r="8" spans="1:11" x14ac:dyDescent="0.25">
      <c r="A8" s="6">
        <v>7</v>
      </c>
      <c r="B8" s="14" t="s">
        <v>17</v>
      </c>
      <c r="C8" s="14" t="s">
        <v>11</v>
      </c>
      <c r="D8" s="6"/>
      <c r="E8" s="6"/>
      <c r="F8" s="19"/>
      <c r="G8" s="8" t="s">
        <v>127</v>
      </c>
      <c r="H8" s="15">
        <v>78000000</v>
      </c>
      <c r="I8" s="8" t="s">
        <v>11</v>
      </c>
      <c r="J8" s="6"/>
      <c r="K8" s="6"/>
    </row>
    <row r="9" spans="1:11" x14ac:dyDescent="0.25">
      <c r="A9" s="6">
        <v>8</v>
      </c>
      <c r="B9" s="14" t="s">
        <v>18</v>
      </c>
      <c r="C9" s="14" t="s">
        <v>19</v>
      </c>
      <c r="D9" s="6"/>
      <c r="E9" s="6"/>
      <c r="F9" s="19"/>
      <c r="G9" s="8" t="s">
        <v>127</v>
      </c>
      <c r="H9" s="15">
        <f>1350000*40</f>
        <v>54000000</v>
      </c>
      <c r="I9" s="8" t="s">
        <v>11</v>
      </c>
      <c r="J9" s="6"/>
      <c r="K9" s="6"/>
    </row>
    <row r="10" spans="1:11" x14ac:dyDescent="0.25">
      <c r="A10" s="6">
        <v>9</v>
      </c>
      <c r="B10" s="14" t="s">
        <v>20</v>
      </c>
      <c r="C10" s="14" t="s">
        <v>21</v>
      </c>
      <c r="D10" s="6"/>
      <c r="E10" s="6"/>
      <c r="F10" s="19"/>
      <c r="G10" s="8" t="s">
        <v>127</v>
      </c>
      <c r="H10" s="15">
        <f t="shared" ref="H10:H11" si="0">1350000*40</f>
        <v>54000000</v>
      </c>
      <c r="I10" s="8" t="s">
        <v>11</v>
      </c>
      <c r="J10" s="6"/>
      <c r="K10" s="6"/>
    </row>
    <row r="11" spans="1:11" x14ac:dyDescent="0.25">
      <c r="A11" s="6">
        <v>10</v>
      </c>
      <c r="B11" s="14" t="s">
        <v>22</v>
      </c>
      <c r="C11" s="14" t="s">
        <v>23</v>
      </c>
      <c r="D11" s="6"/>
      <c r="E11" s="6"/>
      <c r="F11" s="19"/>
      <c r="G11" s="8" t="s">
        <v>127</v>
      </c>
      <c r="H11" s="15">
        <f t="shared" si="0"/>
        <v>54000000</v>
      </c>
      <c r="I11" s="8" t="s">
        <v>11</v>
      </c>
      <c r="J11" s="6"/>
      <c r="K11" s="6"/>
    </row>
    <row r="12" spans="1:11" x14ac:dyDescent="0.25">
      <c r="A12" s="6">
        <v>11</v>
      </c>
      <c r="B12" s="14" t="s">
        <v>24</v>
      </c>
      <c r="C12" s="14" t="s">
        <v>25</v>
      </c>
      <c r="D12" s="6"/>
      <c r="E12" s="6"/>
      <c r="F12" s="19"/>
      <c r="G12" s="8" t="s">
        <v>127</v>
      </c>
      <c r="H12" s="15">
        <v>117000000</v>
      </c>
      <c r="I12" s="8" t="s">
        <v>11</v>
      </c>
      <c r="J12" s="6"/>
      <c r="K12" s="6"/>
    </row>
    <row r="13" spans="1:11" x14ac:dyDescent="0.25">
      <c r="A13" s="6">
        <v>12</v>
      </c>
      <c r="B13" s="14" t="s">
        <v>26</v>
      </c>
      <c r="C13" s="14" t="s">
        <v>27</v>
      </c>
      <c r="D13" s="6"/>
      <c r="E13" s="6"/>
      <c r="F13" s="19"/>
      <c r="G13" s="8" t="s">
        <v>127</v>
      </c>
      <c r="H13" s="15">
        <f>55500000+60450000</f>
        <v>115950000</v>
      </c>
      <c r="I13" s="8" t="s">
        <v>11</v>
      </c>
      <c r="J13" s="6"/>
      <c r="K13" s="6"/>
    </row>
    <row r="14" spans="1:11" x14ac:dyDescent="0.25">
      <c r="A14" s="6">
        <v>13</v>
      </c>
      <c r="B14" s="14" t="s">
        <v>28</v>
      </c>
      <c r="C14" s="14" t="s">
        <v>29</v>
      </c>
      <c r="D14" s="6"/>
      <c r="E14" s="6"/>
      <c r="F14" s="19"/>
      <c r="G14" s="8" t="s">
        <v>127</v>
      </c>
      <c r="H14" s="15">
        <v>55500000</v>
      </c>
      <c r="I14" s="8" t="s">
        <v>11</v>
      </c>
      <c r="J14" s="6"/>
      <c r="K14" s="6"/>
    </row>
    <row r="15" spans="1:11" x14ac:dyDescent="0.25">
      <c r="A15" s="6">
        <v>14</v>
      </c>
      <c r="B15" s="14" t="s">
        <v>30</v>
      </c>
      <c r="C15" s="14" t="s">
        <v>31</v>
      </c>
      <c r="D15" s="6"/>
      <c r="E15" s="6"/>
      <c r="F15" s="19"/>
      <c r="G15" s="8" t="s">
        <v>127</v>
      </c>
      <c r="H15" s="15">
        <v>40580000</v>
      </c>
      <c r="I15" s="8" t="s">
        <v>11</v>
      </c>
      <c r="J15" s="6"/>
      <c r="K15" s="6"/>
    </row>
    <row r="16" spans="1:11" x14ac:dyDescent="0.25">
      <c r="A16" s="6">
        <v>15</v>
      </c>
      <c r="B16" s="14" t="s">
        <v>32</v>
      </c>
      <c r="C16" s="14" t="s">
        <v>33</v>
      </c>
      <c r="D16" s="6"/>
      <c r="E16" s="6"/>
      <c r="F16" s="19"/>
      <c r="G16" s="8" t="s">
        <v>127</v>
      </c>
      <c r="H16" s="15">
        <v>60000000</v>
      </c>
      <c r="I16" s="8" t="s">
        <v>11</v>
      </c>
      <c r="J16" s="6"/>
      <c r="K16" s="6"/>
    </row>
    <row r="17" spans="1:11" x14ac:dyDescent="0.25">
      <c r="A17" s="6">
        <v>16</v>
      </c>
      <c r="B17" s="14" t="s">
        <v>34</v>
      </c>
      <c r="C17" s="14" t="s">
        <v>33</v>
      </c>
      <c r="D17" s="6"/>
      <c r="E17" s="6"/>
      <c r="F17" s="19"/>
      <c r="G17" s="8" t="s">
        <v>127</v>
      </c>
      <c r="H17" s="15">
        <v>40000000</v>
      </c>
      <c r="I17" s="8" t="s">
        <v>11</v>
      </c>
      <c r="J17" s="6"/>
      <c r="K17" s="6"/>
    </row>
    <row r="18" spans="1:11" x14ac:dyDescent="0.25">
      <c r="A18" s="6">
        <v>17</v>
      </c>
      <c r="B18" s="14" t="s">
        <v>35</v>
      </c>
      <c r="C18" s="14" t="s">
        <v>11</v>
      </c>
      <c r="D18" s="6"/>
      <c r="E18" s="6"/>
      <c r="F18" s="19"/>
      <c r="G18" s="8" t="s">
        <v>127</v>
      </c>
      <c r="H18" s="15">
        <v>4900000</v>
      </c>
      <c r="I18" s="8" t="s">
        <v>11</v>
      </c>
      <c r="J18" s="6"/>
      <c r="K18" s="6"/>
    </row>
    <row r="19" spans="1:11" x14ac:dyDescent="0.25">
      <c r="A19" s="6">
        <v>18</v>
      </c>
      <c r="B19" s="14" t="s">
        <v>36</v>
      </c>
      <c r="C19" s="14" t="s">
        <v>37</v>
      </c>
      <c r="D19" s="6"/>
      <c r="E19" s="6"/>
      <c r="F19" s="19"/>
      <c r="G19" s="8" t="s">
        <v>127</v>
      </c>
      <c r="H19" s="15">
        <v>35743388</v>
      </c>
      <c r="I19" s="8" t="s">
        <v>11</v>
      </c>
      <c r="J19" s="6"/>
      <c r="K19" s="6"/>
    </row>
    <row r="20" spans="1:11" x14ac:dyDescent="0.25">
      <c r="A20" s="6">
        <v>19</v>
      </c>
      <c r="B20" s="14" t="s">
        <v>38</v>
      </c>
      <c r="C20" s="14" t="s">
        <v>37</v>
      </c>
      <c r="D20" s="6"/>
      <c r="E20" s="6"/>
      <c r="F20" s="19"/>
      <c r="G20" s="8" t="s">
        <v>127</v>
      </c>
      <c r="H20" s="15">
        <v>3000000</v>
      </c>
      <c r="I20" s="8" t="s">
        <v>11</v>
      </c>
      <c r="J20" s="6"/>
      <c r="K20" s="6"/>
    </row>
    <row r="21" spans="1:11" x14ac:dyDescent="0.25">
      <c r="A21" s="6">
        <v>20</v>
      </c>
      <c r="B21" s="14" t="s">
        <v>13</v>
      </c>
      <c r="C21" s="14" t="s">
        <v>37</v>
      </c>
      <c r="D21" s="6"/>
      <c r="E21" s="6"/>
      <c r="F21" s="19"/>
      <c r="G21" s="8" t="s">
        <v>127</v>
      </c>
      <c r="H21" s="15">
        <v>48000000</v>
      </c>
      <c r="I21" s="8" t="s">
        <v>11</v>
      </c>
      <c r="J21" s="6"/>
      <c r="K21" s="6"/>
    </row>
    <row r="22" spans="1:11" x14ac:dyDescent="0.25">
      <c r="A22" s="6">
        <v>21</v>
      </c>
      <c r="B22" s="14" t="s">
        <v>39</v>
      </c>
      <c r="C22" s="14" t="s">
        <v>40</v>
      </c>
      <c r="D22" s="6"/>
      <c r="E22" s="6"/>
      <c r="F22" s="19"/>
      <c r="G22" s="8" t="s">
        <v>127</v>
      </c>
      <c r="H22" s="15">
        <v>2500000</v>
      </c>
      <c r="I22" s="8" t="s">
        <v>11</v>
      </c>
      <c r="J22" s="6"/>
      <c r="K22" s="6"/>
    </row>
    <row r="23" spans="1:11" x14ac:dyDescent="0.25">
      <c r="A23" s="6">
        <v>22</v>
      </c>
      <c r="B23" s="14" t="s">
        <v>41</v>
      </c>
      <c r="C23" s="14" t="s">
        <v>40</v>
      </c>
      <c r="D23" s="6"/>
      <c r="E23" s="6"/>
      <c r="F23" s="19"/>
      <c r="G23" s="8" t="s">
        <v>127</v>
      </c>
      <c r="H23" s="15">
        <v>60000000</v>
      </c>
      <c r="I23" s="8" t="s">
        <v>11</v>
      </c>
      <c r="J23" s="6"/>
      <c r="K23" s="6"/>
    </row>
    <row r="24" spans="1:11" x14ac:dyDescent="0.25">
      <c r="A24" s="6">
        <v>23</v>
      </c>
      <c r="B24" s="14" t="s">
        <v>42</v>
      </c>
      <c r="C24" s="14" t="s">
        <v>37</v>
      </c>
      <c r="D24" s="6"/>
      <c r="E24" s="6"/>
      <c r="F24" s="19"/>
      <c r="G24" s="8" t="s">
        <v>127</v>
      </c>
      <c r="H24" s="15">
        <v>60000000</v>
      </c>
      <c r="I24" s="8" t="s">
        <v>11</v>
      </c>
      <c r="J24" s="6"/>
      <c r="K24" s="6"/>
    </row>
    <row r="25" spans="1:11" x14ac:dyDescent="0.25">
      <c r="A25" s="6">
        <v>24</v>
      </c>
      <c r="B25" s="14" t="s">
        <v>128</v>
      </c>
      <c r="C25" s="14" t="s">
        <v>40</v>
      </c>
      <c r="D25" s="6"/>
      <c r="E25" s="6"/>
      <c r="F25" s="19"/>
      <c r="G25" s="8" t="s">
        <v>127</v>
      </c>
      <c r="H25" s="15">
        <v>5000000</v>
      </c>
      <c r="I25" s="8" t="s">
        <v>11</v>
      </c>
      <c r="J25" s="6"/>
      <c r="K25" s="6"/>
    </row>
    <row r="26" spans="1:11" x14ac:dyDescent="0.25">
      <c r="A26" s="6">
        <v>25</v>
      </c>
      <c r="B26" s="14" t="s">
        <v>128</v>
      </c>
      <c r="C26" s="14" t="s">
        <v>40</v>
      </c>
      <c r="D26" s="6"/>
      <c r="E26" s="6"/>
      <c r="F26" s="19"/>
      <c r="G26" s="8" t="s">
        <v>127</v>
      </c>
      <c r="H26" s="15">
        <v>60000000</v>
      </c>
      <c r="I26" s="8" t="s">
        <v>11</v>
      </c>
      <c r="J26" s="6"/>
      <c r="K26" s="6"/>
    </row>
    <row r="27" spans="1:11" x14ac:dyDescent="0.25">
      <c r="A27" s="6">
        <v>26</v>
      </c>
      <c r="B27" s="14" t="s">
        <v>43</v>
      </c>
      <c r="C27" s="14" t="s">
        <v>40</v>
      </c>
      <c r="D27" s="6"/>
      <c r="E27" s="6"/>
      <c r="F27" s="19"/>
      <c r="G27" s="8" t="s">
        <v>127</v>
      </c>
      <c r="H27" s="15">
        <v>60000000</v>
      </c>
      <c r="I27" s="8" t="s">
        <v>11</v>
      </c>
      <c r="J27" s="6"/>
      <c r="K27" s="6"/>
    </row>
    <row r="28" spans="1:11" x14ac:dyDescent="0.25">
      <c r="A28" s="6">
        <v>27</v>
      </c>
      <c r="B28" s="14" t="s">
        <v>44</v>
      </c>
      <c r="C28" s="14" t="s">
        <v>40</v>
      </c>
      <c r="D28" s="6"/>
      <c r="E28" s="6"/>
      <c r="F28" s="19"/>
      <c r="G28" s="8" t="s">
        <v>127</v>
      </c>
      <c r="H28" s="15">
        <v>7000000</v>
      </c>
      <c r="I28" s="8" t="s">
        <v>11</v>
      </c>
      <c r="J28" s="6"/>
      <c r="K28" s="6"/>
    </row>
    <row r="29" spans="1:11" x14ac:dyDescent="0.25">
      <c r="A29" s="6">
        <v>28</v>
      </c>
      <c r="B29" s="14" t="s">
        <v>45</v>
      </c>
      <c r="C29" s="14" t="s">
        <v>40</v>
      </c>
      <c r="D29" s="6"/>
      <c r="E29" s="6"/>
      <c r="F29" s="19"/>
      <c r="G29" s="8" t="s">
        <v>127</v>
      </c>
      <c r="H29" s="15">
        <v>4500000</v>
      </c>
      <c r="I29" s="8" t="s">
        <v>11</v>
      </c>
      <c r="J29" s="6"/>
      <c r="K29" s="6"/>
    </row>
    <row r="30" spans="1:11" x14ac:dyDescent="0.25">
      <c r="A30" s="6">
        <v>29</v>
      </c>
      <c r="B30" s="14" t="s">
        <v>46</v>
      </c>
      <c r="C30" s="14" t="s">
        <v>40</v>
      </c>
      <c r="D30" s="6"/>
      <c r="E30" s="6"/>
      <c r="F30" s="19"/>
      <c r="G30" s="8" t="s">
        <v>127</v>
      </c>
      <c r="H30" s="15">
        <v>5000000</v>
      </c>
      <c r="I30" s="8" t="s">
        <v>11</v>
      </c>
      <c r="J30" s="6"/>
      <c r="K30" s="6"/>
    </row>
    <row r="31" spans="1:11" x14ac:dyDescent="0.25">
      <c r="A31" s="6">
        <v>30</v>
      </c>
      <c r="B31" s="14" t="s">
        <v>47</v>
      </c>
      <c r="C31" s="14" t="s">
        <v>40</v>
      </c>
      <c r="D31" s="6"/>
      <c r="E31" s="6"/>
      <c r="F31" s="19"/>
      <c r="G31" s="8" t="s">
        <v>127</v>
      </c>
      <c r="H31" s="15">
        <v>60000000</v>
      </c>
      <c r="I31" s="8" t="s">
        <v>11</v>
      </c>
      <c r="J31" s="6"/>
      <c r="K31" s="6"/>
    </row>
    <row r="32" spans="1:11" x14ac:dyDescent="0.25">
      <c r="A32" s="6">
        <v>31</v>
      </c>
      <c r="B32" s="14" t="s">
        <v>48</v>
      </c>
      <c r="C32" s="14" t="s">
        <v>49</v>
      </c>
      <c r="D32" s="6"/>
      <c r="E32" s="6"/>
      <c r="F32" s="19"/>
      <c r="G32" s="8" t="s">
        <v>127</v>
      </c>
      <c r="H32" s="15">
        <v>55000000</v>
      </c>
      <c r="I32" s="8" t="s">
        <v>11</v>
      </c>
      <c r="J32" s="6"/>
      <c r="K32" s="6"/>
    </row>
    <row r="33" spans="1:11" x14ac:dyDescent="0.25">
      <c r="A33" s="6">
        <v>32</v>
      </c>
      <c r="B33" s="14" t="s">
        <v>50</v>
      </c>
      <c r="C33" s="14" t="s">
        <v>51</v>
      </c>
      <c r="D33" s="6"/>
      <c r="E33" s="6"/>
      <c r="F33" s="19"/>
      <c r="G33" s="8" t="s">
        <v>127</v>
      </c>
      <c r="H33" s="15">
        <v>60000000</v>
      </c>
      <c r="I33" s="8" t="s">
        <v>11</v>
      </c>
      <c r="J33" s="6"/>
      <c r="K33" s="6"/>
    </row>
    <row r="34" spans="1:11" x14ac:dyDescent="0.25">
      <c r="A34" s="6">
        <v>33</v>
      </c>
      <c r="B34" s="14" t="s">
        <v>52</v>
      </c>
      <c r="C34" s="14" t="s">
        <v>37</v>
      </c>
      <c r="D34" s="6"/>
      <c r="E34" s="6"/>
      <c r="F34" s="19"/>
      <c r="G34" s="8" t="s">
        <v>127</v>
      </c>
      <c r="H34" s="15">
        <v>65000000</v>
      </c>
      <c r="I34" s="8" t="s">
        <v>11</v>
      </c>
      <c r="J34" s="6"/>
      <c r="K34" s="6"/>
    </row>
    <row r="35" spans="1:11" x14ac:dyDescent="0.25">
      <c r="A35" s="6">
        <v>34</v>
      </c>
      <c r="B35" s="14" t="s">
        <v>53</v>
      </c>
      <c r="C35" s="14" t="s">
        <v>40</v>
      </c>
      <c r="D35" s="6"/>
      <c r="E35" s="6"/>
      <c r="F35" s="19"/>
      <c r="G35" s="8" t="s">
        <v>127</v>
      </c>
      <c r="H35" s="15">
        <v>55500000</v>
      </c>
      <c r="I35" s="8" t="s">
        <v>11</v>
      </c>
      <c r="J35" s="6"/>
      <c r="K35" s="6"/>
    </row>
    <row r="36" spans="1:11" x14ac:dyDescent="0.25">
      <c r="A36" s="6">
        <v>35</v>
      </c>
      <c r="B36" s="14" t="s">
        <v>54</v>
      </c>
      <c r="C36" s="14" t="s">
        <v>11</v>
      </c>
      <c r="D36" s="6"/>
      <c r="E36" s="6"/>
      <c r="F36" s="19"/>
      <c r="G36" s="8" t="s">
        <v>127</v>
      </c>
      <c r="H36" s="15">
        <v>54000000</v>
      </c>
      <c r="I36" s="8" t="s">
        <v>11</v>
      </c>
      <c r="J36" s="6"/>
      <c r="K36" s="6"/>
    </row>
    <row r="37" spans="1:11" x14ac:dyDescent="0.25">
      <c r="A37" s="6">
        <v>36</v>
      </c>
      <c r="B37" s="14" t="s">
        <v>55</v>
      </c>
      <c r="C37" s="14" t="s">
        <v>56</v>
      </c>
      <c r="D37" s="6"/>
      <c r="E37" s="6"/>
      <c r="F37" s="19"/>
      <c r="G37" s="8" t="s">
        <v>127</v>
      </c>
      <c r="H37" s="15">
        <v>7500000</v>
      </c>
      <c r="I37" s="8" t="s">
        <v>11</v>
      </c>
      <c r="J37" s="6"/>
      <c r="K37" s="6"/>
    </row>
    <row r="38" spans="1:11" x14ac:dyDescent="0.25">
      <c r="A38" s="6">
        <v>37</v>
      </c>
      <c r="B38" s="14" t="s">
        <v>53</v>
      </c>
      <c r="C38" s="14" t="s">
        <v>57</v>
      </c>
      <c r="D38" s="6"/>
      <c r="E38" s="6"/>
      <c r="F38" s="19"/>
      <c r="G38" s="8" t="s">
        <v>127</v>
      </c>
      <c r="H38" s="15">
        <v>6500000</v>
      </c>
      <c r="I38" s="8" t="s">
        <v>11</v>
      </c>
      <c r="J38" s="6"/>
      <c r="K38" s="6"/>
    </row>
    <row r="39" spans="1:11" x14ac:dyDescent="0.25">
      <c r="A39" s="6">
        <v>38</v>
      </c>
      <c r="B39" s="14" t="s">
        <v>58</v>
      </c>
      <c r="C39" s="14" t="s">
        <v>59</v>
      </c>
      <c r="D39" s="6"/>
      <c r="E39" s="6"/>
      <c r="F39" s="19"/>
      <c r="G39" s="8" t="s">
        <v>127</v>
      </c>
      <c r="H39" s="15">
        <v>6000000</v>
      </c>
      <c r="I39" s="8" t="s">
        <v>11</v>
      </c>
      <c r="J39" s="6"/>
      <c r="K39" s="6"/>
    </row>
    <row r="40" spans="1:11" x14ac:dyDescent="0.25">
      <c r="A40" s="6">
        <v>39</v>
      </c>
      <c r="B40" s="14" t="s">
        <v>60</v>
      </c>
      <c r="C40" s="14" t="s">
        <v>59</v>
      </c>
      <c r="D40" s="6"/>
      <c r="E40" s="6"/>
      <c r="F40" s="19"/>
      <c r="G40" s="8" t="s">
        <v>127</v>
      </c>
      <c r="H40" s="15">
        <v>55000000</v>
      </c>
      <c r="I40" s="8" t="s">
        <v>11</v>
      </c>
      <c r="J40" s="6"/>
      <c r="K40" s="6"/>
    </row>
    <row r="41" spans="1:11" x14ac:dyDescent="0.25">
      <c r="A41" s="6">
        <v>40</v>
      </c>
      <c r="B41" s="14" t="s">
        <v>61</v>
      </c>
      <c r="C41" s="14" t="s">
        <v>62</v>
      </c>
      <c r="D41" s="6"/>
      <c r="E41" s="6"/>
      <c r="F41" s="19"/>
      <c r="G41" s="8" t="s">
        <v>127</v>
      </c>
      <c r="H41" s="15">
        <v>2000000000</v>
      </c>
      <c r="I41" s="8" t="s">
        <v>11</v>
      </c>
      <c r="J41" s="6"/>
      <c r="K41" s="6"/>
    </row>
    <row r="42" spans="1:11" x14ac:dyDescent="0.25">
      <c r="A42" s="6">
        <v>41</v>
      </c>
      <c r="B42" s="14" t="s">
        <v>63</v>
      </c>
      <c r="C42" s="14" t="s">
        <v>11</v>
      </c>
      <c r="D42" s="6"/>
      <c r="E42" s="6"/>
      <c r="F42" s="19"/>
      <c r="G42" s="8" t="s">
        <v>127</v>
      </c>
      <c r="H42" s="15">
        <v>30596000</v>
      </c>
      <c r="I42" s="8" t="s">
        <v>11</v>
      </c>
      <c r="J42" s="6"/>
      <c r="K42" s="6"/>
    </row>
    <row r="43" spans="1:11" x14ac:dyDescent="0.25">
      <c r="A43" s="6">
        <v>42</v>
      </c>
      <c r="B43" s="14" t="s">
        <v>64</v>
      </c>
      <c r="C43" s="14" t="s">
        <v>65</v>
      </c>
      <c r="D43" s="6"/>
      <c r="E43" s="6"/>
      <c r="F43" s="19"/>
      <c r="G43" s="8" t="s">
        <v>127</v>
      </c>
      <c r="H43" s="15">
        <v>6500000</v>
      </c>
      <c r="I43" s="8" t="s">
        <v>11</v>
      </c>
      <c r="J43" s="6"/>
      <c r="K43" s="6"/>
    </row>
    <row r="44" spans="1:11" x14ac:dyDescent="0.25">
      <c r="A44" s="6">
        <v>43</v>
      </c>
      <c r="B44" s="14" t="s">
        <v>66</v>
      </c>
      <c r="C44" s="14" t="s">
        <v>65</v>
      </c>
      <c r="D44" s="6"/>
      <c r="E44" s="6"/>
      <c r="F44" s="19"/>
      <c r="G44" s="8" t="s">
        <v>127</v>
      </c>
      <c r="H44" s="15">
        <v>41500000</v>
      </c>
      <c r="I44" s="8" t="s">
        <v>11</v>
      </c>
      <c r="J44" s="6"/>
      <c r="K44" s="6"/>
    </row>
    <row r="45" spans="1:11" x14ac:dyDescent="0.25">
      <c r="A45" s="6">
        <v>44</v>
      </c>
      <c r="B45" s="14" t="s">
        <v>67</v>
      </c>
      <c r="C45" s="14" t="s">
        <v>68</v>
      </c>
      <c r="D45" s="6"/>
      <c r="E45" s="6"/>
      <c r="F45" s="19"/>
      <c r="G45" s="8" t="s">
        <v>127</v>
      </c>
      <c r="H45" s="15">
        <v>138550000</v>
      </c>
      <c r="I45" s="8" t="s">
        <v>11</v>
      </c>
      <c r="J45" s="6"/>
      <c r="K45" s="6"/>
    </row>
    <row r="46" spans="1:11" x14ac:dyDescent="0.25">
      <c r="A46" s="6">
        <v>45</v>
      </c>
      <c r="B46" s="14" t="s">
        <v>69</v>
      </c>
      <c r="C46" s="14" t="s">
        <v>57</v>
      </c>
      <c r="D46" s="6"/>
      <c r="E46" s="6"/>
      <c r="F46" s="19"/>
      <c r="G46" s="8" t="s">
        <v>127</v>
      </c>
      <c r="H46" s="15">
        <v>266000000</v>
      </c>
      <c r="I46" s="8" t="s">
        <v>11</v>
      </c>
      <c r="J46" s="6"/>
      <c r="K46" s="6"/>
    </row>
    <row r="47" spans="1:11" x14ac:dyDescent="0.25">
      <c r="A47" s="6">
        <v>46</v>
      </c>
      <c r="B47" s="14" t="s">
        <v>70</v>
      </c>
      <c r="C47" s="14" t="s">
        <v>71</v>
      </c>
      <c r="D47" s="6"/>
      <c r="E47" s="6"/>
      <c r="F47" s="19"/>
      <c r="G47" s="8" t="s">
        <v>127</v>
      </c>
      <c r="H47" s="15">
        <v>51500000</v>
      </c>
      <c r="I47" s="8" t="s">
        <v>11</v>
      </c>
      <c r="J47" s="6"/>
      <c r="K47" s="6"/>
    </row>
    <row r="48" spans="1:11" x14ac:dyDescent="0.25">
      <c r="A48" s="6">
        <v>47</v>
      </c>
      <c r="B48" s="14" t="s">
        <v>72</v>
      </c>
      <c r="C48" s="14" t="s">
        <v>57</v>
      </c>
      <c r="D48" s="6"/>
      <c r="E48" s="6"/>
      <c r="F48" s="19"/>
      <c r="G48" s="8" t="s">
        <v>127</v>
      </c>
      <c r="H48" s="15">
        <f>H43</f>
        <v>6500000</v>
      </c>
      <c r="I48" s="8" t="s">
        <v>11</v>
      </c>
      <c r="J48" s="6"/>
      <c r="K48" s="6"/>
    </row>
    <row r="49" spans="1:11" x14ac:dyDescent="0.25">
      <c r="A49" s="6">
        <v>48</v>
      </c>
      <c r="B49" s="14" t="s">
        <v>73</v>
      </c>
      <c r="C49" s="14" t="s">
        <v>74</v>
      </c>
      <c r="D49" s="6"/>
      <c r="E49" s="6"/>
      <c r="F49" s="19"/>
      <c r="G49" s="8" t="s">
        <v>127</v>
      </c>
      <c r="H49" s="15">
        <f>H43</f>
        <v>6500000</v>
      </c>
      <c r="I49" s="8" t="s">
        <v>11</v>
      </c>
      <c r="J49" s="6"/>
      <c r="K49" s="6"/>
    </row>
    <row r="50" spans="1:11" x14ac:dyDescent="0.25">
      <c r="A50" s="6">
        <v>49</v>
      </c>
      <c r="B50" s="16" t="s">
        <v>75</v>
      </c>
      <c r="C50" s="14" t="s">
        <v>76</v>
      </c>
      <c r="D50" s="6"/>
      <c r="E50" s="6"/>
      <c r="F50" s="19"/>
      <c r="G50" s="8" t="s">
        <v>127</v>
      </c>
      <c r="H50" s="15">
        <v>55500000</v>
      </c>
      <c r="I50" s="8" t="s">
        <v>11</v>
      </c>
      <c r="J50" s="6"/>
      <c r="K50" s="6"/>
    </row>
    <row r="51" spans="1:11" x14ac:dyDescent="0.25">
      <c r="A51" s="6">
        <v>50</v>
      </c>
      <c r="B51" s="16" t="s">
        <v>77</v>
      </c>
      <c r="C51" s="14" t="s">
        <v>76</v>
      </c>
      <c r="D51" s="6"/>
      <c r="E51" s="6"/>
      <c r="F51" s="19"/>
      <c r="G51" s="8" t="s">
        <v>127</v>
      </c>
      <c r="H51" s="15">
        <v>5500000</v>
      </c>
      <c r="I51" s="8" t="s">
        <v>11</v>
      </c>
      <c r="J51" s="6"/>
      <c r="K51" s="6"/>
    </row>
    <row r="52" spans="1:11" x14ac:dyDescent="0.25">
      <c r="A52" s="6">
        <v>51</v>
      </c>
      <c r="B52" s="16" t="s">
        <v>78</v>
      </c>
      <c r="C52" s="14" t="s">
        <v>79</v>
      </c>
      <c r="D52" s="6"/>
      <c r="E52" s="6"/>
      <c r="F52" s="19"/>
      <c r="G52" s="8" t="s">
        <v>127</v>
      </c>
      <c r="H52" s="15">
        <v>46500000</v>
      </c>
      <c r="I52" s="8" t="s">
        <v>11</v>
      </c>
      <c r="J52" s="6"/>
      <c r="K52" s="6"/>
    </row>
    <row r="53" spans="1:11" x14ac:dyDescent="0.25">
      <c r="A53" s="6">
        <v>52</v>
      </c>
      <c r="B53" s="16" t="s">
        <v>80</v>
      </c>
      <c r="C53" s="14" t="s">
        <v>71</v>
      </c>
      <c r="D53" s="6"/>
      <c r="E53" s="6"/>
      <c r="F53" s="19"/>
      <c r="G53" s="8" t="s">
        <v>127</v>
      </c>
      <c r="H53" s="15">
        <v>6500000</v>
      </c>
      <c r="I53" s="8" t="s">
        <v>11</v>
      </c>
      <c r="J53" s="6"/>
      <c r="K53" s="6"/>
    </row>
    <row r="54" spans="1:11" x14ac:dyDescent="0.25">
      <c r="A54" s="6">
        <v>53</v>
      </c>
      <c r="B54" s="16" t="s">
        <v>80</v>
      </c>
      <c r="C54" s="14" t="s">
        <v>71</v>
      </c>
      <c r="D54" s="6"/>
      <c r="E54" s="6"/>
      <c r="F54" s="19"/>
      <c r="G54" s="8" t="s">
        <v>127</v>
      </c>
      <c r="H54" s="15">
        <v>55500000</v>
      </c>
      <c r="I54" s="8" t="s">
        <v>11</v>
      </c>
      <c r="J54" s="6"/>
      <c r="K54" s="6"/>
    </row>
    <row r="55" spans="1:11" x14ac:dyDescent="0.25">
      <c r="A55" s="6">
        <v>54</v>
      </c>
      <c r="B55" s="16" t="s">
        <v>81</v>
      </c>
      <c r="C55" s="14" t="s">
        <v>11</v>
      </c>
      <c r="D55" s="6"/>
      <c r="E55" s="6"/>
      <c r="F55" s="19"/>
      <c r="G55" s="8" t="s">
        <v>127</v>
      </c>
      <c r="H55" s="15">
        <v>27000000</v>
      </c>
      <c r="I55" s="8" t="s">
        <v>11</v>
      </c>
      <c r="J55" s="6"/>
      <c r="K55" s="6"/>
    </row>
    <row r="56" spans="1:11" x14ac:dyDescent="0.25">
      <c r="A56" s="6">
        <v>55</v>
      </c>
      <c r="B56" s="16" t="s">
        <v>82</v>
      </c>
      <c r="C56" s="14" t="s">
        <v>83</v>
      </c>
      <c r="D56" s="6"/>
      <c r="E56" s="6"/>
      <c r="F56" s="19"/>
      <c r="G56" s="8" t="s">
        <v>127</v>
      </c>
      <c r="H56" s="15">
        <f>3800000*12</f>
        <v>45600000</v>
      </c>
      <c r="I56" s="8" t="s">
        <v>11</v>
      </c>
      <c r="J56" s="6"/>
      <c r="K56" s="6"/>
    </row>
    <row r="57" spans="1:11" x14ac:dyDescent="0.25">
      <c r="A57" s="6">
        <v>56</v>
      </c>
      <c r="B57" s="16" t="s">
        <v>82</v>
      </c>
      <c r="C57" s="14" t="s">
        <v>83</v>
      </c>
      <c r="D57" s="6"/>
      <c r="E57" s="6"/>
      <c r="F57" s="19"/>
      <c r="G57" s="8" t="s">
        <v>127</v>
      </c>
      <c r="H57" s="15">
        <f>4000000*12</f>
        <v>48000000</v>
      </c>
      <c r="I57" s="8" t="s">
        <v>11</v>
      </c>
      <c r="J57" s="6"/>
      <c r="K57" s="6"/>
    </row>
    <row r="58" spans="1:11" x14ac:dyDescent="0.25">
      <c r="A58" s="6">
        <v>57</v>
      </c>
      <c r="B58" s="16" t="s">
        <v>82</v>
      </c>
      <c r="C58" s="14" t="s">
        <v>83</v>
      </c>
      <c r="D58" s="6"/>
      <c r="E58" s="6"/>
      <c r="F58" s="19"/>
      <c r="G58" s="8" t="s">
        <v>127</v>
      </c>
      <c r="H58" s="15">
        <v>95000000</v>
      </c>
      <c r="I58" s="8" t="s">
        <v>11</v>
      </c>
      <c r="J58" s="6"/>
      <c r="K58" s="6"/>
    </row>
    <row r="59" spans="1:11" x14ac:dyDescent="0.25">
      <c r="A59" s="6">
        <v>58</v>
      </c>
      <c r="B59" s="14" t="s">
        <v>84</v>
      </c>
      <c r="C59" s="14" t="s">
        <v>85</v>
      </c>
      <c r="D59" s="6"/>
      <c r="E59" s="6"/>
      <c r="F59" s="19"/>
      <c r="G59" s="8" t="s">
        <v>127</v>
      </c>
      <c r="H59" s="15">
        <f>H56</f>
        <v>45600000</v>
      </c>
      <c r="I59" s="8" t="s">
        <v>11</v>
      </c>
      <c r="J59" s="6"/>
      <c r="K59" s="6"/>
    </row>
    <row r="60" spans="1:11" x14ac:dyDescent="0.25">
      <c r="A60" s="6">
        <v>59</v>
      </c>
      <c r="B60" s="14" t="s">
        <v>84</v>
      </c>
      <c r="C60" s="14" t="s">
        <v>85</v>
      </c>
      <c r="D60" s="6"/>
      <c r="E60" s="6"/>
      <c r="F60" s="19"/>
      <c r="G60" s="8" t="s">
        <v>127</v>
      </c>
      <c r="H60" s="15">
        <v>45600000</v>
      </c>
      <c r="I60" s="8" t="s">
        <v>11</v>
      </c>
      <c r="J60" s="6"/>
      <c r="K60" s="6"/>
    </row>
    <row r="61" spans="1:11" x14ac:dyDescent="0.25">
      <c r="A61" s="6">
        <v>60</v>
      </c>
      <c r="B61" s="14" t="s">
        <v>86</v>
      </c>
      <c r="C61" s="14" t="s">
        <v>87</v>
      </c>
      <c r="D61" s="6"/>
      <c r="E61" s="6"/>
      <c r="F61" s="19"/>
      <c r="G61" s="8" t="s">
        <v>127</v>
      </c>
      <c r="H61" s="15">
        <f>H59</f>
        <v>45600000</v>
      </c>
      <c r="I61" s="8" t="s">
        <v>11</v>
      </c>
      <c r="J61" s="6"/>
      <c r="K61" s="6"/>
    </row>
    <row r="62" spans="1:11" x14ac:dyDescent="0.25">
      <c r="A62" s="6">
        <v>61</v>
      </c>
      <c r="B62" s="14" t="s">
        <v>88</v>
      </c>
      <c r="C62" s="14" t="s">
        <v>89</v>
      </c>
      <c r="D62" s="6"/>
      <c r="E62" s="6"/>
      <c r="F62" s="19"/>
      <c r="G62" s="8" t="s">
        <v>127</v>
      </c>
      <c r="H62" s="15">
        <v>48000000</v>
      </c>
      <c r="I62" s="8" t="s">
        <v>11</v>
      </c>
      <c r="J62" s="6"/>
      <c r="K62" s="6"/>
    </row>
    <row r="63" spans="1:11" x14ac:dyDescent="0.25">
      <c r="A63" s="6">
        <v>62</v>
      </c>
      <c r="B63" s="14" t="s">
        <v>90</v>
      </c>
      <c r="C63" s="14" t="s">
        <v>74</v>
      </c>
      <c r="D63" s="6"/>
      <c r="E63" s="6"/>
      <c r="F63" s="19"/>
      <c r="G63" s="8" t="s">
        <v>127</v>
      </c>
      <c r="H63" s="15">
        <v>35500000</v>
      </c>
      <c r="I63" s="8" t="s">
        <v>11</v>
      </c>
      <c r="J63" s="6"/>
      <c r="K63" s="6"/>
    </row>
    <row r="64" spans="1:11" x14ac:dyDescent="0.25">
      <c r="A64" s="6">
        <v>63</v>
      </c>
      <c r="B64" s="17" t="s">
        <v>91</v>
      </c>
      <c r="C64" s="17" t="s">
        <v>92</v>
      </c>
      <c r="D64" s="6"/>
      <c r="E64" s="6"/>
      <c r="F64" s="19"/>
      <c r="G64" s="8" t="s">
        <v>127</v>
      </c>
      <c r="H64" s="18">
        <v>144000000</v>
      </c>
      <c r="I64" s="8" t="s">
        <v>11</v>
      </c>
      <c r="J64" s="6"/>
      <c r="K64" s="6"/>
    </row>
    <row r="65" spans="1:11" x14ac:dyDescent="0.25">
      <c r="A65" s="6">
        <v>64</v>
      </c>
      <c r="B65" s="14" t="s">
        <v>86</v>
      </c>
      <c r="C65" s="14" t="s">
        <v>87</v>
      </c>
      <c r="D65" s="6"/>
      <c r="E65" s="6"/>
      <c r="F65" s="19"/>
      <c r="G65" s="8" t="s">
        <v>127</v>
      </c>
      <c r="H65" s="15">
        <v>45600000</v>
      </c>
      <c r="I65" s="8" t="s">
        <v>11</v>
      </c>
      <c r="J65" s="6"/>
      <c r="K65" s="6"/>
    </row>
    <row r="66" spans="1:11" x14ac:dyDescent="0.25">
      <c r="A66" s="6">
        <v>65</v>
      </c>
      <c r="B66" s="14" t="s">
        <v>88</v>
      </c>
      <c r="C66" s="14" t="s">
        <v>89</v>
      </c>
      <c r="D66" s="6"/>
      <c r="E66" s="6"/>
      <c r="F66" s="19"/>
      <c r="G66" s="8" t="s">
        <v>127</v>
      </c>
      <c r="H66" s="15">
        <v>48000000</v>
      </c>
      <c r="I66" s="8" t="s">
        <v>11</v>
      </c>
      <c r="J66" s="6"/>
      <c r="K66" s="6"/>
    </row>
    <row r="67" spans="1:11" x14ac:dyDescent="0.25">
      <c r="A67" s="6">
        <v>66</v>
      </c>
      <c r="B67" s="14" t="s">
        <v>93</v>
      </c>
      <c r="C67" s="14" t="s">
        <v>57</v>
      </c>
      <c r="D67" s="6"/>
      <c r="E67" s="6"/>
      <c r="F67" s="19"/>
      <c r="G67" s="8" t="s">
        <v>127</v>
      </c>
      <c r="H67" s="15">
        <f>H65</f>
        <v>45600000</v>
      </c>
      <c r="I67" s="8" t="s">
        <v>11</v>
      </c>
      <c r="J67" s="6"/>
      <c r="K67" s="6"/>
    </row>
    <row r="68" spans="1:11" x14ac:dyDescent="0.25">
      <c r="A68" s="6">
        <v>67</v>
      </c>
      <c r="B68" s="14" t="s">
        <v>94</v>
      </c>
      <c r="C68" s="14" t="s">
        <v>57</v>
      </c>
      <c r="D68" s="6"/>
      <c r="E68" s="6"/>
      <c r="F68" s="19"/>
      <c r="G68" s="8" t="s">
        <v>127</v>
      </c>
      <c r="H68" s="15">
        <v>40300000</v>
      </c>
      <c r="I68" s="8" t="s">
        <v>11</v>
      </c>
      <c r="J68" s="6"/>
      <c r="K68" s="6"/>
    </row>
    <row r="69" spans="1:11" x14ac:dyDescent="0.25">
      <c r="A69" s="6">
        <v>68</v>
      </c>
      <c r="B69" s="14" t="s">
        <v>95</v>
      </c>
      <c r="C69" s="14" t="s">
        <v>96</v>
      </c>
      <c r="D69" s="6"/>
      <c r="E69" s="6"/>
      <c r="F69" s="19"/>
      <c r="G69" s="8" t="s">
        <v>127</v>
      </c>
      <c r="H69" s="15">
        <f>H67</f>
        <v>45600000</v>
      </c>
      <c r="I69" s="8" t="s">
        <v>11</v>
      </c>
      <c r="J69" s="6"/>
      <c r="K69" s="6"/>
    </row>
    <row r="70" spans="1:11" x14ac:dyDescent="0.25">
      <c r="A70" s="6">
        <v>69</v>
      </c>
      <c r="B70" s="14" t="s">
        <v>95</v>
      </c>
      <c r="C70" s="14" t="s">
        <v>96</v>
      </c>
      <c r="D70" s="6"/>
      <c r="E70" s="6"/>
      <c r="F70" s="19"/>
      <c r="G70" s="8" t="s">
        <v>127</v>
      </c>
      <c r="H70" s="15">
        <f>7200000*12</f>
        <v>86400000</v>
      </c>
      <c r="I70" s="8" t="s">
        <v>11</v>
      </c>
      <c r="J70" s="6"/>
      <c r="K70" s="6"/>
    </row>
    <row r="71" spans="1:11" x14ac:dyDescent="0.25">
      <c r="A71" s="6">
        <v>70</v>
      </c>
      <c r="B71" s="14" t="s">
        <v>97</v>
      </c>
      <c r="C71" s="14" t="s">
        <v>74</v>
      </c>
      <c r="D71" s="6"/>
      <c r="E71" s="6"/>
      <c r="F71" s="19"/>
      <c r="G71" s="8" t="s">
        <v>127</v>
      </c>
      <c r="H71" s="15">
        <f>4500000*12</f>
        <v>54000000</v>
      </c>
      <c r="I71" s="8" t="s">
        <v>11</v>
      </c>
      <c r="J71" s="6"/>
      <c r="K71" s="6"/>
    </row>
    <row r="72" spans="1:11" x14ac:dyDescent="0.25">
      <c r="A72" s="6">
        <v>71</v>
      </c>
      <c r="B72" s="14" t="s">
        <v>98</v>
      </c>
      <c r="C72" s="14" t="s">
        <v>89</v>
      </c>
      <c r="D72" s="6"/>
      <c r="E72" s="6"/>
      <c r="F72" s="19"/>
      <c r="G72" s="8" t="s">
        <v>127</v>
      </c>
      <c r="H72" s="15">
        <v>49200000</v>
      </c>
      <c r="I72" s="8" t="s">
        <v>11</v>
      </c>
      <c r="J72" s="6"/>
      <c r="K72" s="6"/>
    </row>
    <row r="73" spans="1:11" x14ac:dyDescent="0.25">
      <c r="A73" s="6">
        <v>72</v>
      </c>
      <c r="B73" s="14" t="s">
        <v>99</v>
      </c>
      <c r="C73" s="14" t="s">
        <v>100</v>
      </c>
      <c r="D73" s="6"/>
      <c r="E73" s="6"/>
      <c r="F73" s="19"/>
      <c r="G73" s="8" t="s">
        <v>127</v>
      </c>
      <c r="H73" s="15">
        <v>6500000</v>
      </c>
      <c r="I73" s="8" t="s">
        <v>11</v>
      </c>
      <c r="J73" s="6"/>
      <c r="K73" s="6"/>
    </row>
    <row r="74" spans="1:11" x14ac:dyDescent="0.25">
      <c r="A74" s="6">
        <v>73</v>
      </c>
      <c r="B74" s="16" t="s">
        <v>101</v>
      </c>
      <c r="C74" s="14" t="s">
        <v>74</v>
      </c>
      <c r="D74" s="6"/>
      <c r="E74" s="6"/>
      <c r="F74" s="19"/>
      <c r="G74" s="8" t="s">
        <v>127</v>
      </c>
      <c r="H74" s="15">
        <v>3500000</v>
      </c>
      <c r="I74" s="8" t="s">
        <v>11</v>
      </c>
      <c r="J74" s="6"/>
      <c r="K74" s="6"/>
    </row>
    <row r="75" spans="1:11" x14ac:dyDescent="0.25">
      <c r="A75" s="6">
        <v>74</v>
      </c>
      <c r="B75" s="16" t="s">
        <v>102</v>
      </c>
      <c r="C75" s="14" t="s">
        <v>96</v>
      </c>
      <c r="D75" s="6"/>
      <c r="E75" s="6"/>
      <c r="F75" s="19"/>
      <c r="G75" s="8" t="s">
        <v>127</v>
      </c>
      <c r="H75" s="15">
        <v>55000000</v>
      </c>
      <c r="I75" s="8" t="s">
        <v>11</v>
      </c>
      <c r="J75" s="6"/>
      <c r="K75" s="6"/>
    </row>
    <row r="76" spans="1:11" x14ac:dyDescent="0.25">
      <c r="A76" s="6">
        <v>75</v>
      </c>
      <c r="B76" s="17" t="s">
        <v>103</v>
      </c>
      <c r="C76" s="17" t="s">
        <v>11</v>
      </c>
      <c r="D76" s="6"/>
      <c r="E76" s="6"/>
      <c r="F76" s="19"/>
      <c r="G76" s="8" t="s">
        <v>127</v>
      </c>
      <c r="H76" s="18">
        <v>45000000</v>
      </c>
      <c r="I76" s="8" t="s">
        <v>11</v>
      </c>
      <c r="J76" s="6"/>
      <c r="K76" s="6"/>
    </row>
    <row r="77" spans="1:11" x14ac:dyDescent="0.25">
      <c r="A77" s="6">
        <v>76</v>
      </c>
      <c r="B77" s="14" t="s">
        <v>104</v>
      </c>
      <c r="C77" s="17" t="s">
        <v>11</v>
      </c>
      <c r="D77" s="6"/>
      <c r="E77" s="6"/>
      <c r="F77" s="19"/>
      <c r="G77" s="8" t="s">
        <v>127</v>
      </c>
      <c r="H77" s="18">
        <v>40000000</v>
      </c>
      <c r="I77" s="8" t="s">
        <v>11</v>
      </c>
      <c r="J77" s="6"/>
      <c r="K77" s="6"/>
    </row>
    <row r="78" spans="1:11" x14ac:dyDescent="0.25">
      <c r="A78" s="6">
        <v>77</v>
      </c>
      <c r="B78" s="20" t="s">
        <v>105</v>
      </c>
      <c r="C78" s="17" t="s">
        <v>59</v>
      </c>
      <c r="D78" s="6"/>
      <c r="E78" s="6"/>
      <c r="F78" s="19"/>
      <c r="G78" s="8" t="s">
        <v>127</v>
      </c>
      <c r="H78" s="18">
        <f>4000000*12</f>
        <v>48000000</v>
      </c>
      <c r="I78" s="8" t="s">
        <v>11</v>
      </c>
      <c r="J78" s="6"/>
      <c r="K78" s="6"/>
    </row>
    <row r="79" spans="1:11" x14ac:dyDescent="0.25">
      <c r="A79" s="6">
        <v>78</v>
      </c>
      <c r="B79" s="14" t="s">
        <v>106</v>
      </c>
      <c r="C79" s="14" t="s">
        <v>11</v>
      </c>
      <c r="D79" s="6"/>
      <c r="E79" s="6"/>
      <c r="F79" s="19"/>
      <c r="G79" s="8" t="s">
        <v>127</v>
      </c>
      <c r="H79" s="15">
        <v>50000000</v>
      </c>
      <c r="I79" s="8" t="s">
        <v>11</v>
      </c>
      <c r="J79" s="6"/>
      <c r="K79" s="6"/>
    </row>
    <row r="80" spans="1:11" x14ac:dyDescent="0.25">
      <c r="A80" s="6">
        <v>79</v>
      </c>
      <c r="B80" s="14" t="s">
        <v>107</v>
      </c>
      <c r="C80" s="14" t="s">
        <v>11</v>
      </c>
      <c r="D80" s="6"/>
      <c r="E80" s="6"/>
      <c r="F80" s="19"/>
      <c r="G80" s="8" t="s">
        <v>127</v>
      </c>
      <c r="H80" s="15">
        <v>7000000</v>
      </c>
      <c r="I80" s="8" t="s">
        <v>11</v>
      </c>
      <c r="J80" s="6"/>
      <c r="K80" s="6"/>
    </row>
    <row r="81" spans="1:11" x14ac:dyDescent="0.25">
      <c r="A81" s="6">
        <v>80</v>
      </c>
      <c r="B81" s="14" t="s">
        <v>108</v>
      </c>
      <c r="C81" s="14" t="s">
        <v>11</v>
      </c>
      <c r="D81" s="6"/>
      <c r="E81" s="6"/>
      <c r="F81" s="19"/>
      <c r="G81" s="8" t="s">
        <v>127</v>
      </c>
      <c r="H81" s="15">
        <f>4000000*12</f>
        <v>48000000</v>
      </c>
      <c r="I81" s="8" t="s">
        <v>11</v>
      </c>
      <c r="J81" s="6"/>
      <c r="K81" s="6"/>
    </row>
    <row r="82" spans="1:11" x14ac:dyDescent="0.25">
      <c r="A82" s="6">
        <v>81</v>
      </c>
      <c r="B82" s="14" t="s">
        <v>109</v>
      </c>
      <c r="C82" s="14" t="s">
        <v>11</v>
      </c>
      <c r="D82" s="6"/>
      <c r="E82" s="6"/>
      <c r="F82" s="19"/>
      <c r="G82" s="8" t="s">
        <v>127</v>
      </c>
      <c r="H82" s="15">
        <v>57900000</v>
      </c>
      <c r="I82" s="8" t="s">
        <v>11</v>
      </c>
      <c r="J82" s="6"/>
      <c r="K82" s="6"/>
    </row>
    <row r="83" spans="1:11" x14ac:dyDescent="0.25">
      <c r="A83" s="6">
        <v>82</v>
      </c>
      <c r="B83" s="14" t="s">
        <v>110</v>
      </c>
      <c r="C83" s="14" t="s">
        <v>11</v>
      </c>
      <c r="D83" s="6"/>
      <c r="E83" s="6"/>
      <c r="F83" s="19"/>
      <c r="G83" s="8" t="s">
        <v>127</v>
      </c>
      <c r="H83" s="15">
        <v>55000000</v>
      </c>
      <c r="I83" s="8" t="s">
        <v>11</v>
      </c>
      <c r="J83" s="6"/>
      <c r="K83" s="6"/>
    </row>
    <row r="84" spans="1:11" x14ac:dyDescent="0.25">
      <c r="A84" s="6">
        <v>83</v>
      </c>
      <c r="B84" s="14" t="s">
        <v>111</v>
      </c>
      <c r="C84" s="14" t="s">
        <v>11</v>
      </c>
      <c r="D84" s="6"/>
      <c r="E84" s="6"/>
      <c r="F84" s="19"/>
      <c r="G84" s="8" t="s">
        <v>127</v>
      </c>
      <c r="H84" s="15">
        <v>52650000</v>
      </c>
      <c r="I84" s="8" t="s">
        <v>11</v>
      </c>
      <c r="J84" s="6"/>
      <c r="K84" s="6"/>
    </row>
    <row r="85" spans="1:11" x14ac:dyDescent="0.25">
      <c r="A85" s="6">
        <v>84</v>
      </c>
      <c r="B85" s="14" t="s">
        <v>112</v>
      </c>
      <c r="C85" s="14" t="s">
        <v>11</v>
      </c>
      <c r="D85" s="6"/>
      <c r="E85" s="6"/>
      <c r="F85" s="19"/>
      <c r="G85" s="8" t="s">
        <v>127</v>
      </c>
      <c r="H85" s="15">
        <f>4500000*12</f>
        <v>54000000</v>
      </c>
      <c r="I85" s="8" t="s">
        <v>11</v>
      </c>
      <c r="J85" s="6"/>
      <c r="K85" s="6"/>
    </row>
    <row r="86" spans="1:11" x14ac:dyDescent="0.25">
      <c r="A86" s="6">
        <v>85</v>
      </c>
      <c r="B86" s="14" t="s">
        <v>113</v>
      </c>
      <c r="C86" s="14" t="s">
        <v>74</v>
      </c>
      <c r="D86" s="6"/>
      <c r="E86" s="6"/>
      <c r="F86" s="19"/>
      <c r="G86" s="8" t="s">
        <v>127</v>
      </c>
      <c r="H86" s="15">
        <v>80000000</v>
      </c>
      <c r="I86" s="8" t="s">
        <v>11</v>
      </c>
      <c r="J86" s="6"/>
      <c r="K86" s="6"/>
    </row>
    <row r="87" spans="1:11" x14ac:dyDescent="0.25">
      <c r="A87" s="6">
        <v>86</v>
      </c>
      <c r="B87" s="14" t="s">
        <v>114</v>
      </c>
      <c r="C87" s="14" t="s">
        <v>74</v>
      </c>
      <c r="D87" s="6"/>
      <c r="E87" s="6"/>
      <c r="F87" s="19"/>
      <c r="G87" s="8" t="s">
        <v>127</v>
      </c>
      <c r="H87" s="15">
        <v>20500000</v>
      </c>
      <c r="I87" s="8" t="s">
        <v>11</v>
      </c>
      <c r="J87" s="6"/>
      <c r="K87" s="6"/>
    </row>
    <row r="88" spans="1:11" x14ac:dyDescent="0.25">
      <c r="A88" s="6">
        <v>87</v>
      </c>
      <c r="B88" s="14" t="s">
        <v>115</v>
      </c>
      <c r="C88" s="14" t="s">
        <v>74</v>
      </c>
      <c r="D88" s="6"/>
      <c r="E88" s="6"/>
      <c r="F88" s="19"/>
      <c r="G88" s="8" t="s">
        <v>127</v>
      </c>
      <c r="H88" s="15">
        <v>80000000</v>
      </c>
      <c r="I88" s="8" t="s">
        <v>11</v>
      </c>
      <c r="J88" s="6"/>
      <c r="K88" s="6"/>
    </row>
    <row r="89" spans="1:11" x14ac:dyDescent="0.25">
      <c r="A89" s="6">
        <v>88</v>
      </c>
      <c r="B89" s="14" t="s">
        <v>112</v>
      </c>
      <c r="C89" s="14" t="s">
        <v>74</v>
      </c>
      <c r="D89" s="6"/>
      <c r="E89" s="6"/>
      <c r="F89" s="19"/>
      <c r="G89" s="8" t="s">
        <v>127</v>
      </c>
      <c r="H89" s="15">
        <v>3500000</v>
      </c>
      <c r="I89" s="8" t="s">
        <v>11</v>
      </c>
      <c r="J89" s="6"/>
      <c r="K89" s="6"/>
    </row>
    <row r="90" spans="1:11" x14ac:dyDescent="0.25">
      <c r="A90" s="6">
        <v>89</v>
      </c>
      <c r="B90" s="14" t="s">
        <v>116</v>
      </c>
      <c r="C90" s="14" t="s">
        <v>74</v>
      </c>
      <c r="D90" s="6"/>
      <c r="E90" s="6"/>
      <c r="F90" s="19"/>
      <c r="G90" s="8" t="s">
        <v>127</v>
      </c>
      <c r="H90" s="15">
        <v>150000000</v>
      </c>
      <c r="I90" s="8" t="s">
        <v>11</v>
      </c>
      <c r="J90" s="6"/>
      <c r="K90" s="6"/>
    </row>
    <row r="91" spans="1:11" x14ac:dyDescent="0.25">
      <c r="A91" s="6">
        <v>90</v>
      </c>
      <c r="B91" s="14" t="s">
        <v>117</v>
      </c>
      <c r="C91" s="14" t="s">
        <v>11</v>
      </c>
      <c r="D91" s="6"/>
      <c r="E91" s="6"/>
      <c r="F91" s="19"/>
      <c r="G91" s="8" t="s">
        <v>127</v>
      </c>
      <c r="H91" s="15">
        <v>54900000</v>
      </c>
      <c r="I91" s="8" t="s">
        <v>11</v>
      </c>
      <c r="J91" s="6"/>
      <c r="K91" s="6"/>
    </row>
    <row r="92" spans="1:11" x14ac:dyDescent="0.25">
      <c r="A92" s="6">
        <v>91</v>
      </c>
      <c r="B92" s="14" t="s">
        <v>118</v>
      </c>
      <c r="C92" s="14" t="s">
        <v>11</v>
      </c>
      <c r="D92" s="6"/>
      <c r="E92" s="6"/>
      <c r="F92" s="19"/>
      <c r="G92" s="8" t="s">
        <v>127</v>
      </c>
      <c r="H92" s="15">
        <v>6500000</v>
      </c>
      <c r="I92" s="8" t="s">
        <v>11</v>
      </c>
      <c r="J92" s="6"/>
      <c r="K92" s="6"/>
    </row>
    <row r="93" spans="1:11" x14ac:dyDescent="0.25">
      <c r="A93" s="6">
        <v>92</v>
      </c>
      <c r="B93" s="14" t="s">
        <v>119</v>
      </c>
      <c r="C93" s="14" t="s">
        <v>11</v>
      </c>
      <c r="D93" s="6"/>
      <c r="E93" s="6"/>
      <c r="F93" s="19"/>
      <c r="G93" s="8" t="s">
        <v>127</v>
      </c>
      <c r="H93" s="15">
        <v>5000000</v>
      </c>
      <c r="I93" s="8" t="s">
        <v>11</v>
      </c>
      <c r="J93" s="6"/>
      <c r="K93" s="6"/>
    </row>
    <row r="94" spans="1:11" x14ac:dyDescent="0.25">
      <c r="A94" s="6">
        <v>93</v>
      </c>
      <c r="B94" s="14" t="s">
        <v>120</v>
      </c>
      <c r="C94" s="14" t="s">
        <v>11</v>
      </c>
      <c r="D94" s="6"/>
      <c r="E94" s="6"/>
      <c r="F94" s="19"/>
      <c r="G94" s="8" t="s">
        <v>127</v>
      </c>
      <c r="H94" s="15">
        <v>5000000</v>
      </c>
      <c r="I94" s="8" t="s">
        <v>11</v>
      </c>
      <c r="J94" s="6"/>
      <c r="K94" s="6"/>
    </row>
    <row r="95" spans="1:11" x14ac:dyDescent="0.25">
      <c r="A95" s="6">
        <v>94</v>
      </c>
      <c r="B95" s="14" t="s">
        <v>121</v>
      </c>
      <c r="C95" s="14" t="s">
        <v>11</v>
      </c>
      <c r="D95" s="6"/>
      <c r="E95" s="6"/>
      <c r="F95" s="19"/>
      <c r="G95" s="8" t="s">
        <v>127</v>
      </c>
      <c r="H95" s="15">
        <v>5500000</v>
      </c>
      <c r="I95" s="8" t="s">
        <v>11</v>
      </c>
      <c r="J95" s="6"/>
      <c r="K95" s="6"/>
    </row>
    <row r="96" spans="1:11" x14ac:dyDescent="0.25">
      <c r="A96" s="6">
        <v>95</v>
      </c>
      <c r="B96" s="14" t="s">
        <v>122</v>
      </c>
      <c r="C96" s="14" t="s">
        <v>11</v>
      </c>
      <c r="D96" s="6"/>
      <c r="E96" s="6"/>
      <c r="F96" s="19"/>
      <c r="G96" s="8" t="s">
        <v>127</v>
      </c>
      <c r="H96" s="15">
        <v>7000000</v>
      </c>
      <c r="I96" s="8" t="s">
        <v>11</v>
      </c>
      <c r="J96" s="6"/>
      <c r="K96" s="6"/>
    </row>
    <row r="97" spans="1:11" x14ac:dyDescent="0.25">
      <c r="A97" s="6">
        <v>96</v>
      </c>
      <c r="B97" s="14" t="s">
        <v>123</v>
      </c>
      <c r="C97" s="14" t="s">
        <v>11</v>
      </c>
      <c r="D97" s="6"/>
      <c r="E97" s="6"/>
      <c r="F97" s="19"/>
      <c r="G97" s="8" t="s">
        <v>127</v>
      </c>
      <c r="H97" s="15">
        <v>7000000</v>
      </c>
      <c r="I97" s="8" t="s">
        <v>11</v>
      </c>
      <c r="J97" s="6"/>
      <c r="K97" s="6"/>
    </row>
    <row r="98" spans="1:11" x14ac:dyDescent="0.25">
      <c r="A98" s="6">
        <v>97</v>
      </c>
      <c r="B98" s="14" t="s">
        <v>124</v>
      </c>
      <c r="C98" s="14" t="s">
        <v>11</v>
      </c>
      <c r="D98" s="6"/>
      <c r="E98" s="6"/>
      <c r="F98" s="19"/>
      <c r="G98" s="8" t="s">
        <v>127</v>
      </c>
      <c r="H98" s="15">
        <v>10000000</v>
      </c>
      <c r="I98" s="8" t="s">
        <v>11</v>
      </c>
      <c r="J98" s="6"/>
      <c r="K98" s="6"/>
    </row>
    <row r="99" spans="1:11" x14ac:dyDescent="0.25">
      <c r="A99" s="6">
        <v>98</v>
      </c>
      <c r="B99" s="14" t="s">
        <v>106</v>
      </c>
      <c r="C99" s="14" t="s">
        <v>11</v>
      </c>
      <c r="D99" s="6"/>
      <c r="E99" s="6"/>
      <c r="F99" s="19"/>
      <c r="G99" s="8" t="s">
        <v>127</v>
      </c>
      <c r="H99" s="15">
        <v>55000000</v>
      </c>
      <c r="I99" s="8" t="s">
        <v>11</v>
      </c>
      <c r="J99" s="6"/>
      <c r="K99" s="6"/>
    </row>
    <row r="100" spans="1:11" x14ac:dyDescent="0.25">
      <c r="A100" s="6">
        <v>99</v>
      </c>
      <c r="B100" s="14" t="s">
        <v>125</v>
      </c>
      <c r="C100" s="14" t="s">
        <v>11</v>
      </c>
      <c r="D100" s="6"/>
      <c r="E100" s="6"/>
      <c r="F100" s="19"/>
      <c r="G100" s="8" t="s">
        <v>127</v>
      </c>
      <c r="H100" s="15">
        <v>7000000</v>
      </c>
      <c r="I100" s="8" t="s">
        <v>11</v>
      </c>
      <c r="J100" s="6"/>
      <c r="K100" s="6"/>
    </row>
    <row r="101" spans="1:11" x14ac:dyDescent="0.25">
      <c r="A101" s="6">
        <v>100</v>
      </c>
      <c r="B101" s="14" t="s">
        <v>126</v>
      </c>
      <c r="C101" s="14" t="s">
        <v>11</v>
      </c>
      <c r="D101" s="6"/>
      <c r="E101" s="6"/>
      <c r="F101" s="19"/>
      <c r="G101" s="8" t="s">
        <v>127</v>
      </c>
      <c r="H101" s="15">
        <v>57000000</v>
      </c>
      <c r="I101" s="8" t="s">
        <v>11</v>
      </c>
      <c r="J101" s="6"/>
      <c r="K101" s="6"/>
    </row>
  </sheetData>
  <dataValidations count="2">
    <dataValidation type="list" allowBlank="1" showInputMessage="1" showErrorMessage="1" sqref="I2:I101" xr:uid="{00000000-0002-0000-0000-000000000000}">
      <formula1>"MCU,IHC,VAKSIN,HSEO,LAB RUJUKAN"</formula1>
      <formula2>0</formula2>
    </dataValidation>
    <dataValidation type="list" allowBlank="1" showInputMessage="1" showErrorMessage="1" sqref="G2:G101" xr:uid="{00000000-0002-0000-0000-000001000000}">
      <formula1>"Proses Prospek,Negosiasi,Deal,Lost"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Raden Wisnu</dc:creator>
  <dc:description/>
  <cp:lastModifiedBy>Yunita Yunita</cp:lastModifiedBy>
  <cp:revision>8</cp:revision>
  <dcterms:created xsi:type="dcterms:W3CDTF">2025-10-05T14:36:03Z</dcterms:created>
  <dcterms:modified xsi:type="dcterms:W3CDTF">2026-01-12T07:10:04Z</dcterms:modified>
  <dc:language>en-US</dc:language>
</cp:coreProperties>
</file>